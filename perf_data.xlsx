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lihuzhan_amd_com/Documents/Documents/ato_files/project/2026_0602__dsv4/"/>
    </mc:Choice>
  </mc:AlternateContent>
  <xr:revisionPtr revIDLastSave="0" documentId="8_{9D9CE244-AC61-41D1-B363-F5EFCFCAD1D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4" i="1"/>
  <c r="G33" i="1"/>
  <c r="G31" i="1"/>
  <c r="G30" i="1"/>
  <c r="G18" i="1"/>
  <c r="G27" i="1"/>
  <c r="G26" i="1"/>
  <c r="G23" i="1"/>
  <c r="G21" i="1"/>
  <c r="G22" i="1"/>
  <c r="G20" i="1"/>
  <c r="G17" i="1"/>
  <c r="G16" i="1"/>
  <c r="G12" i="1"/>
  <c r="G11" i="1"/>
  <c r="G10" i="1"/>
  <c r="P12" i="1"/>
  <c r="P11" i="1"/>
  <c r="P9" i="1"/>
  <c r="P8" i="1"/>
  <c r="G9" i="1"/>
  <c r="G8" i="1"/>
  <c r="G7" i="1"/>
</calcChain>
</file>

<file path=xl/sharedStrings.xml><?xml version="1.0" encoding="utf-8"?>
<sst xmlns="http://schemas.openxmlformats.org/spreadsheetml/2006/main" count="155" uniqueCount="68">
  <si>
    <t>image</t>
  </si>
  <si>
    <t>model</t>
  </si>
  <si>
    <t>node
num</t>
  </si>
  <si>
    <t>data
type</t>
  </si>
  <si>
    <t>layer num</t>
  </si>
  <si>
    <t>mbs</t>
  </si>
  <si>
    <t>gbs</t>
  </si>
  <si>
    <t>ep</t>
  </si>
  <si>
    <t>pp</t>
  </si>
  <si>
    <t>pp layout</t>
  </si>
  <si>
    <t>recomp</t>
  </si>
  <si>
    <t>other config</t>
  </si>
  <si>
    <t>TFLOPs</t>
  </si>
  <si>
    <t>TFLOPs max</t>
  </si>
  <si>
    <t>tokens/s/GPU</t>
  </si>
  <si>
    <t>dp scaling</t>
  </si>
  <si>
    <t>mem (%)</t>
  </si>
  <si>
    <t>note</t>
  </si>
  <si>
    <t>dsv4 flash proxy</t>
  </si>
  <si>
    <t>bf16</t>
  </si>
  <si>
    <t>/</t>
  </si>
  <si>
    <t>baseline</t>
  </si>
  <si>
    <t>moe_router_force_load_balancing（后面的都默认开了）</t>
  </si>
  <si>
    <t>moe_router_force_load_balancing, overlap_grad_reduce, overlap_param_gather, no-freeze-indexer</t>
  </si>
  <si>
    <t>error</t>
  </si>
  <si>
    <t>moe_router_force_load_balancing, overlap_grad_reduce, overlap_param_gather, freeze-indexer</t>
  </si>
  <si>
    <t>pr-715-ainic</t>
  </si>
  <si>
    <t>没开overlap_grad_reduce和overlap_param_gather</t>
  </si>
  <si>
    <t>overlap_grad_reduce, overlap_param_gather, freeze-indexer</t>
  </si>
  <si>
    <t>dsv4 flash</t>
  </si>
  <si>
    <t>"Et*4|t*5|(t*6|)*5,t*4L"</t>
  </si>
  <si>
    <t>很不稳定</t>
  </si>
  <si>
    <t>overlap_grad_reduce, overlap_param_gather, freeze-indexer, manual-gc-50</t>
  </si>
  <si>
    <t>稳定了</t>
  </si>
  <si>
    <t>"Et*10|t*11|t*11|t*11L"</t>
  </si>
  <si>
    <t>没开overlap_grad_reduce和overlap_param_gather, freeze-indexer</t>
  </si>
  <si>
    <t>稳定性问题解决后，recomp-ids还可以调调</t>
  </si>
  <si>
    <t>没开overlap_grad_reduce和overlap_param_gather, no-freeze-indexer</t>
  </si>
  <si>
    <t>manual-gc一次就稳定了！后面都默认开了</t>
  </si>
  <si>
    <t>没开overlap_grad_reduce和overlap_param_gather, freeze-indexer, manual-gc-50</t>
  </si>
  <si>
    <t>跨节点dp测试overlap的效果</t>
  </si>
  <si>
    <t>overlap_grad_reduce, overlap_param_gather, freeze-indexer, manual-gc-100</t>
  </si>
  <si>
    <t>0612, commit-d463c7, before profile</t>
  </si>
  <si>
    <t>overlap_grad_reduce, overlap_param_gather, freeze-indexer, manual-gc-100, pp-warmup</t>
  </si>
  <si>
    <t>pp-warmup: 179s -&gt; 26.5s,  5m31s -&gt;  3m22s</t>
  </si>
  <si>
    <t>pp-warmup: 99s -&gt; 17s,  4m14s -&gt; 3m14s</t>
  </si>
  <si>
    <t>后面都默认打开pp-warmup</t>
  </si>
  <si>
    <t>06.17 new scripts, commit-756b316
mtp还有问题都还没加</t>
  </si>
  <si>
    <t>overlap_grad_reduce, overlap_param_gather, freeze-indexer, manual-gc-100, pp-warmup, iter-10</t>
  </si>
  <si>
    <t>[282.03, 284.09, 283.67, 283.2, 283.55, 283.42, 283.42, 283.16, 273.57, 274.46, 274.45, 274.47, 274.33, 274.22, 274.19, 274.2, 239.18, 240.64, 240.65, 240.69, 240.99, 239.8, 239.5, 239.15, 207.96, 207.51, 207.8, 208.82, 207.16, 207.51, 207.33, 207.26]</t>
  </si>
  <si>
    <t>下面的都默认开启上面这行的配置了</t>
  </si>
  <si>
    <t>"Et*10|t*11|t*11|t*11mL"</t>
  </si>
  <si>
    <t>fp8-indexer, mtp</t>
  </si>
  <si>
    <t>加上mtp和fp8-indexer</t>
  </si>
  <si>
    <t>[281.73, 284.29, 282.81, 283.41, 282.69, 283.62, 282.56, 283.36, 273.57, 274.96, 274.76, 274.79, 274.65, 274.53, 274.2, 274.21, 239.18, 240.64, 240.65, 240.69, 241.0, 239.8, 239.5, 239.16, 228.3, 228.1, 228.3, 230.0, 228.04, 227.87, 227.92, 227.87]</t>
  </si>
  <si>
    <t>"Et*11|t*11|t*11|t*10mL"</t>
  </si>
  <si>
    <t>fp8-indexer, mtp, pp-layout-2</t>
  </si>
  <si>
    <t>OOM</t>
  </si>
  <si>
    <t>"Et*4|t*5|(t*6|)*5,t*4mL"</t>
  </si>
  <si>
    <t>[232.29, 230.96, 231.19, 231.19, 231.06, 230.76, 230.93, 231.54, 258.46, 259.32, 257.34, 259.32, 259.24, 259.01, 259.11, 258.97, 274.06, 274.75, 274.91, 274.71, 276.57, 276.67, 276.76, 276.46, 245.26, 245.5, 245.88, 245.87, 245.75, 245.62, 245.88, 245.88, 213.51, 214.12, 214.37, 214.22, 214.01, 213.98, 214.47, 215.35, 179.84, 180.71, 180.7, 180.73, 180.57, 180.45, 180.43, 180.48, 154.22, 155.06, 155.13, 155.1, 154.97, 154.84, 155.06, 154.86, 116.8, 117.4, 117.87, 117.84, 117.74, 117.57, 117.55, 117.35]</t>
  </si>
  <si>
    <t>"Et*4|(t*6|)*6,t*3mL"</t>
  </si>
  <si>
    <t>"Et*5|t*5|(t*6|)*5,t*3mL"</t>
  </si>
  <si>
    <t>fp8-indexer, mtp, pp-layout-3</t>
  </si>
  <si>
    <t>[280.89, 282.18, 281.87, 281.87, 281.91, 281.78, 281.61, 283.6, 262.15, 263.02, 263.03, 263.2, 262.93, 262.79, 262.8, 262.94, 275.99, 276.99, 277.93, 276.95, 276.81, 276.59, 276.69, 276.6, 244.96, 245.58, 245.83, 245.82, 245.7, 245.32, 245.58, 245.67, 213.88, 212.83, 215.02, 213.02, 212.91, 214.59, 214.77, 214.77, 180.02, 180.89, 181.06, 181.03, 180.74, 180.63, 180.73, 180.65, 154.52, 155.12, 155.18, 155.4, 155.28, 154.89, 154.92, 154.9, 98.17, 99.19, 99.24, 99.04, 99.58, 99.45, 99.67, 99.37]</t>
  </si>
  <si>
    <t>适配mtp后，但不开mtp和fp8-indexer</t>
  </si>
  <si>
    <t>比不加mtp快一点？待确认</t>
  </si>
  <si>
    <t>下面都开 fp8-indexer, mtp</t>
  </si>
  <si>
    <t>2026.06.25, dev/tas/deepseek-v4, commit-e89b4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</si>
</sst>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workbookViewId="0">
      <pane ySplit="1" topLeftCell="A42" activePane="bottomLeft" state="frozen"/>
      <selection pane="bottomLeft" activeCell="L61" sqref="L61"/>
    </sheetView>
  </sheetViews>
  <sheetFormatPr defaultRowHeight="15" customHeight="1"/>
  <cols>
    <col min="1" max="1" width="13.5703125" customWidth="1"/>
    <col min="2" max="2" width="8.7109375" customWidth="1"/>
    <col min="3" max="3" width="6" customWidth="1"/>
    <col min="5" max="5" width="6.140625" customWidth="1"/>
    <col min="6" max="6" width="5" customWidth="1"/>
    <col min="7" max="7" width="6.28515625" customWidth="1"/>
    <col min="8" max="8" width="4.28515625" customWidth="1"/>
    <col min="9" max="9" width="4.85546875" customWidth="1"/>
    <col min="11" max="11" width="9.140625" style="1"/>
    <col min="12" max="12" width="56.5703125" style="9" customWidth="1"/>
    <col min="13" max="13" width="10.140625" style="1" customWidth="1"/>
    <col min="14" max="15" width="8.5703125" hidden="1" customWidth="1"/>
    <col min="16" max="16" width="9.140625" hidden="1" customWidth="1"/>
    <col min="17" max="17" width="9.140625" style="1"/>
    <col min="18" max="18" width="45.28515625" style="9" customWidth="1"/>
  </cols>
  <sheetData>
    <row r="1" spans="1:18" s="4" customFormat="1" ht="42.75" customHeight="1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</row>
    <row r="2" spans="1:18" s="4" customFormat="1">
      <c r="A2" s="7"/>
      <c r="B2" s="32" t="s">
        <v>18</v>
      </c>
      <c r="C2" s="5">
        <v>1</v>
      </c>
      <c r="D2" s="5" t="s">
        <v>19</v>
      </c>
      <c r="E2" s="5">
        <v>8</v>
      </c>
      <c r="F2" s="5">
        <v>1</v>
      </c>
      <c r="G2" s="5">
        <v>8</v>
      </c>
      <c r="H2" s="5">
        <v>8</v>
      </c>
      <c r="I2" s="5">
        <v>1</v>
      </c>
      <c r="J2" s="5" t="s">
        <v>20</v>
      </c>
      <c r="K2" s="5">
        <v>0</v>
      </c>
      <c r="L2" s="10"/>
      <c r="M2" s="11">
        <v>591</v>
      </c>
      <c r="N2" s="11"/>
      <c r="O2" s="11"/>
      <c r="P2" s="2"/>
      <c r="Q2" s="11">
        <v>59.29</v>
      </c>
      <c r="R2" s="13" t="s">
        <v>21</v>
      </c>
    </row>
    <row r="3" spans="1:18" s="4" customFormat="1">
      <c r="A3" s="7"/>
      <c r="B3" s="32"/>
      <c r="C3" s="5">
        <v>1</v>
      </c>
      <c r="D3" s="5" t="s">
        <v>19</v>
      </c>
      <c r="E3" s="5">
        <v>8</v>
      </c>
      <c r="F3" s="5">
        <v>1</v>
      </c>
      <c r="G3" s="5">
        <v>8</v>
      </c>
      <c r="H3" s="5">
        <v>8</v>
      </c>
      <c r="I3" s="5">
        <v>1</v>
      </c>
      <c r="J3" s="5" t="s">
        <v>20</v>
      </c>
      <c r="K3" s="5">
        <v>0</v>
      </c>
      <c r="L3" s="9" t="s">
        <v>22</v>
      </c>
      <c r="M3" s="5">
        <v>666.4</v>
      </c>
      <c r="N3" s="5"/>
      <c r="O3" s="5"/>
      <c r="P3" s="2"/>
      <c r="Q3" s="2"/>
      <c r="R3" s="12"/>
    </row>
    <row r="4" spans="1:18" s="4" customFormat="1">
      <c r="A4" s="7"/>
      <c r="B4" s="32"/>
      <c r="C4" s="5">
        <v>1</v>
      </c>
      <c r="D4" s="5" t="s">
        <v>19</v>
      </c>
      <c r="E4" s="5">
        <v>8</v>
      </c>
      <c r="F4" s="5">
        <v>1</v>
      </c>
      <c r="G4" s="5">
        <v>8</v>
      </c>
      <c r="H4" s="5">
        <v>8</v>
      </c>
      <c r="I4" s="5">
        <v>1</v>
      </c>
      <c r="J4" s="5" t="s">
        <v>20</v>
      </c>
      <c r="K4" s="5">
        <v>0</v>
      </c>
      <c r="L4" s="9" t="s">
        <v>23</v>
      </c>
      <c r="M4" s="4" t="s">
        <v>20</v>
      </c>
      <c r="P4" s="2"/>
      <c r="Q4" s="2"/>
      <c r="R4" s="8" t="s">
        <v>24</v>
      </c>
    </row>
    <row r="5" spans="1:18" s="4" customFormat="1">
      <c r="A5" s="7"/>
      <c r="B5" s="32"/>
      <c r="C5" s="5">
        <v>1</v>
      </c>
      <c r="D5" s="5" t="s">
        <v>19</v>
      </c>
      <c r="E5" s="5">
        <v>8</v>
      </c>
      <c r="F5" s="5">
        <v>1</v>
      </c>
      <c r="G5" s="5">
        <v>8</v>
      </c>
      <c r="H5" s="5">
        <v>8</v>
      </c>
      <c r="I5" s="5">
        <v>1</v>
      </c>
      <c r="J5" s="5" t="s">
        <v>20</v>
      </c>
      <c r="K5" s="5">
        <v>0</v>
      </c>
      <c r="L5" s="9" t="s">
        <v>25</v>
      </c>
      <c r="M5" s="4">
        <v>675.6</v>
      </c>
      <c r="P5" s="2"/>
      <c r="Q5" s="2"/>
      <c r="R5" s="8"/>
    </row>
    <row r="6" spans="1:18" s="4" customFormat="1">
      <c r="A6" s="7"/>
      <c r="B6" s="32"/>
      <c r="P6" s="2"/>
      <c r="Q6" s="2"/>
      <c r="R6" s="12"/>
    </row>
    <row r="7" spans="1:18" s="1" customFormat="1" ht="14.25" customHeight="1">
      <c r="A7" s="31" t="s">
        <v>26</v>
      </c>
      <c r="B7" s="32"/>
      <c r="C7" s="14">
        <v>1</v>
      </c>
      <c r="D7" s="14" t="s">
        <v>19</v>
      </c>
      <c r="E7" s="14">
        <v>8</v>
      </c>
      <c r="F7" s="14">
        <v>1</v>
      </c>
      <c r="G7" s="14">
        <f>C7*16</f>
        <v>16</v>
      </c>
      <c r="H7" s="14">
        <v>8</v>
      </c>
      <c r="I7" s="14">
        <v>1</v>
      </c>
      <c r="J7" s="14" t="s">
        <v>20</v>
      </c>
      <c r="K7" s="14">
        <v>0</v>
      </c>
      <c r="L7" s="30" t="s">
        <v>27</v>
      </c>
      <c r="M7" s="14">
        <v>843.5</v>
      </c>
      <c r="N7" s="14"/>
      <c r="O7" s="14"/>
      <c r="P7" s="14"/>
      <c r="Q7" s="6"/>
      <c r="R7" s="9"/>
    </row>
    <row r="8" spans="1:18" s="1" customFormat="1" ht="14.25" customHeight="1">
      <c r="A8" s="31"/>
      <c r="B8" s="32"/>
      <c r="C8" s="14">
        <v>2</v>
      </c>
      <c r="D8" s="14" t="s">
        <v>19</v>
      </c>
      <c r="E8" s="14">
        <v>8</v>
      </c>
      <c r="F8" s="14">
        <v>1</v>
      </c>
      <c r="G8" s="14">
        <f>C8*16</f>
        <v>32</v>
      </c>
      <c r="H8" s="14">
        <v>8</v>
      </c>
      <c r="I8" s="14">
        <v>1</v>
      </c>
      <c r="J8" s="14" t="s">
        <v>20</v>
      </c>
      <c r="K8" s="14">
        <v>0</v>
      </c>
      <c r="L8" s="30"/>
      <c r="M8" s="15">
        <v>378.6</v>
      </c>
      <c r="N8" s="5"/>
      <c r="O8" s="5"/>
      <c r="P8" s="16">
        <f>M8/M7</f>
        <v>0.44884410195613517</v>
      </c>
      <c r="Q8" s="5"/>
      <c r="R8" s="9"/>
    </row>
    <row r="9" spans="1:18" s="1" customFormat="1" ht="14.25" customHeight="1">
      <c r="A9" s="31"/>
      <c r="B9" s="32"/>
      <c r="C9" s="14">
        <v>4</v>
      </c>
      <c r="D9" s="14" t="s">
        <v>19</v>
      </c>
      <c r="E9" s="14">
        <v>8</v>
      </c>
      <c r="F9" s="14">
        <v>1</v>
      </c>
      <c r="G9" s="14">
        <f>C9*16</f>
        <v>64</v>
      </c>
      <c r="H9" s="14">
        <v>8</v>
      </c>
      <c r="I9" s="14">
        <v>1</v>
      </c>
      <c r="J9" s="14" t="s">
        <v>20</v>
      </c>
      <c r="K9" s="14">
        <v>0</v>
      </c>
      <c r="L9" s="30"/>
      <c r="M9" s="15">
        <v>404</v>
      </c>
      <c r="N9" s="5"/>
      <c r="O9" s="5"/>
      <c r="P9" s="16">
        <f>M9/M7</f>
        <v>0.47895672791938354</v>
      </c>
      <c r="Q9" s="6"/>
      <c r="R9" s="9"/>
    </row>
    <row r="10" spans="1:18" s="1" customFormat="1" ht="14.25" customHeight="1">
      <c r="A10" s="31"/>
      <c r="B10" s="32"/>
      <c r="C10" s="5">
        <v>1</v>
      </c>
      <c r="D10" s="5" t="s">
        <v>19</v>
      </c>
      <c r="E10" s="5">
        <v>8</v>
      </c>
      <c r="F10" s="5">
        <v>1</v>
      </c>
      <c r="G10" s="5">
        <f>C10*16</f>
        <v>16</v>
      </c>
      <c r="H10" s="5">
        <v>8</v>
      </c>
      <c r="I10" s="5">
        <v>1</v>
      </c>
      <c r="J10" s="5" t="s">
        <v>20</v>
      </c>
      <c r="K10" s="5">
        <v>0</v>
      </c>
      <c r="L10" s="9" t="s">
        <v>28</v>
      </c>
      <c r="M10" s="5">
        <v>833.5</v>
      </c>
      <c r="N10" s="5"/>
      <c r="O10" s="5"/>
      <c r="P10" s="5"/>
      <c r="Q10" s="5"/>
      <c r="R10" s="9"/>
    </row>
    <row r="11" spans="1:18" s="1" customFormat="1" ht="14.25" customHeight="1">
      <c r="A11" s="31"/>
      <c r="B11" s="32"/>
      <c r="C11" s="5">
        <v>2</v>
      </c>
      <c r="D11" s="5" t="s">
        <v>19</v>
      </c>
      <c r="E11" s="5">
        <v>8</v>
      </c>
      <c r="F11" s="5">
        <v>1</v>
      </c>
      <c r="G11" s="5">
        <f>C11*16</f>
        <v>32</v>
      </c>
      <c r="H11" s="5">
        <v>8</v>
      </c>
      <c r="I11" s="5">
        <v>1</v>
      </c>
      <c r="J11" s="5" t="s">
        <v>20</v>
      </c>
      <c r="K11" s="5">
        <v>0</v>
      </c>
      <c r="L11" s="9" t="s">
        <v>28</v>
      </c>
      <c r="M11" s="5">
        <v>736.3</v>
      </c>
      <c r="N11" s="5"/>
      <c r="O11" s="5"/>
      <c r="P11" s="6">
        <f>M11/M10</f>
        <v>0.88338332333533287</v>
      </c>
      <c r="Q11" s="6"/>
      <c r="R11" s="9"/>
    </row>
    <row r="12" spans="1:18" s="1" customFormat="1" ht="14.25" customHeight="1">
      <c r="A12" s="31"/>
      <c r="B12" s="32"/>
      <c r="C12" s="5">
        <v>4</v>
      </c>
      <c r="D12" s="5" t="s">
        <v>19</v>
      </c>
      <c r="E12" s="5">
        <v>8</v>
      </c>
      <c r="F12" s="5">
        <v>1</v>
      </c>
      <c r="G12" s="5">
        <f>C12*16</f>
        <v>64</v>
      </c>
      <c r="H12" s="5">
        <v>8</v>
      </c>
      <c r="I12" s="5">
        <v>1</v>
      </c>
      <c r="J12" s="5" t="s">
        <v>20</v>
      </c>
      <c r="K12" s="5">
        <v>0</v>
      </c>
      <c r="L12" s="9" t="s">
        <v>28</v>
      </c>
      <c r="M12" s="5">
        <v>776.1</v>
      </c>
      <c r="N12" s="5"/>
      <c r="O12" s="5"/>
      <c r="P12" s="6">
        <f>M12/M10</f>
        <v>0.93113377324535096</v>
      </c>
      <c r="Q12" s="6"/>
      <c r="R12" s="9"/>
    </row>
    <row r="13" spans="1:18" s="1" customFormat="1" ht="14.25" customHeight="1">
      <c r="A13" s="31"/>
      <c r="B13" s="4"/>
      <c r="C13" s="5"/>
      <c r="D13" s="5"/>
      <c r="E13" s="5"/>
      <c r="F13" s="5"/>
      <c r="G13" s="5"/>
      <c r="H13" s="5"/>
      <c r="I13" s="5"/>
      <c r="J13" s="5"/>
      <c r="K13" s="5"/>
      <c r="L13" s="9"/>
      <c r="M13" s="5"/>
      <c r="N13" s="5"/>
      <c r="O13" s="5"/>
      <c r="P13" s="6"/>
      <c r="Q13" s="6"/>
      <c r="R13" s="9"/>
    </row>
    <row r="14" spans="1:18" s="1" customFormat="1" ht="14.25" customHeight="1">
      <c r="A14" s="31"/>
      <c r="B14" s="4"/>
      <c r="C14" s="5"/>
      <c r="D14" s="5"/>
      <c r="E14" s="5"/>
      <c r="F14" s="5"/>
      <c r="G14" s="5"/>
      <c r="H14" s="5"/>
      <c r="I14" s="5"/>
      <c r="J14" s="5"/>
      <c r="K14" s="5"/>
      <c r="L14" s="9"/>
      <c r="M14" s="5"/>
      <c r="N14" s="5"/>
      <c r="O14" s="5"/>
      <c r="P14" s="6"/>
      <c r="Q14" s="6"/>
      <c r="R14" s="9"/>
    </row>
    <row r="15" spans="1:18" s="1" customFormat="1">
      <c r="A15" s="31"/>
      <c r="B15" s="4"/>
      <c r="L15" s="9"/>
      <c r="R15" s="9"/>
    </row>
    <row r="16" spans="1:18" s="1" customFormat="1" ht="15" customHeight="1">
      <c r="A16" s="31"/>
      <c r="B16" s="32" t="s">
        <v>29</v>
      </c>
      <c r="C16" s="1">
        <v>8</v>
      </c>
      <c r="D16" s="5" t="s">
        <v>19</v>
      </c>
      <c r="E16" s="5">
        <v>43</v>
      </c>
      <c r="F16" s="5">
        <v>1</v>
      </c>
      <c r="G16" s="5">
        <f>C16*16</f>
        <v>128</v>
      </c>
      <c r="H16" s="5">
        <v>8</v>
      </c>
      <c r="I16" s="5">
        <v>8</v>
      </c>
      <c r="J16" s="8" t="s">
        <v>30</v>
      </c>
      <c r="K16" s="5">
        <v>0</v>
      </c>
      <c r="L16" s="9" t="s">
        <v>27</v>
      </c>
      <c r="M16" s="1">
        <v>592.1</v>
      </c>
      <c r="N16" s="1">
        <v>666.7</v>
      </c>
      <c r="Q16" s="1">
        <v>95.6</v>
      </c>
      <c r="R16" s="9" t="s">
        <v>31</v>
      </c>
    </row>
    <row r="17" spans="1:18" s="1" customFormat="1">
      <c r="A17" s="31"/>
      <c r="B17" s="32"/>
      <c r="C17" s="1">
        <v>8</v>
      </c>
      <c r="D17" s="5" t="s">
        <v>19</v>
      </c>
      <c r="E17" s="5">
        <v>43</v>
      </c>
      <c r="F17" s="5">
        <v>1</v>
      </c>
      <c r="G17" s="5">
        <f>C17*16</f>
        <v>128</v>
      </c>
      <c r="H17" s="5">
        <v>8</v>
      </c>
      <c r="I17" s="5">
        <v>8</v>
      </c>
      <c r="J17" s="8" t="s">
        <v>30</v>
      </c>
      <c r="K17" s="5">
        <v>0</v>
      </c>
      <c r="L17" s="9" t="s">
        <v>28</v>
      </c>
      <c r="M17" s="1">
        <v>592.20000000000005</v>
      </c>
      <c r="N17" s="1">
        <v>662.6</v>
      </c>
      <c r="Q17" s="1">
        <v>95.6</v>
      </c>
      <c r="R17" s="9" t="s">
        <v>31</v>
      </c>
    </row>
    <row r="18" spans="1:18" s="1" customFormat="1">
      <c r="A18" s="31"/>
      <c r="B18" s="32"/>
      <c r="C18" s="1">
        <v>8</v>
      </c>
      <c r="D18" s="5" t="s">
        <v>19</v>
      </c>
      <c r="E18" s="5">
        <v>43</v>
      </c>
      <c r="F18" s="5">
        <v>1</v>
      </c>
      <c r="G18" s="5">
        <f>C18*16</f>
        <v>128</v>
      </c>
      <c r="H18" s="5">
        <v>8</v>
      </c>
      <c r="I18" s="5">
        <v>8</v>
      </c>
      <c r="J18" s="8" t="s">
        <v>30</v>
      </c>
      <c r="K18" s="5">
        <v>0</v>
      </c>
      <c r="L18" s="9" t="s">
        <v>32</v>
      </c>
      <c r="M18" s="18">
        <v>660.8</v>
      </c>
      <c r="N18" s="1">
        <v>663.4</v>
      </c>
      <c r="Q18" s="1">
        <v>95.39</v>
      </c>
      <c r="R18" s="9" t="s">
        <v>33</v>
      </c>
    </row>
    <row r="19" spans="1:18" s="1" customFormat="1">
      <c r="A19" s="31"/>
      <c r="B19" s="32"/>
      <c r="L19" s="9"/>
      <c r="R19" s="9"/>
    </row>
    <row r="20" spans="1:18" s="1" customFormat="1">
      <c r="A20" s="31"/>
      <c r="B20" s="32"/>
      <c r="C20" s="1">
        <v>4</v>
      </c>
      <c r="D20" s="5" t="s">
        <v>19</v>
      </c>
      <c r="E20" s="5">
        <v>43</v>
      </c>
      <c r="F20" s="5">
        <v>1</v>
      </c>
      <c r="G20" s="5">
        <f>C20*16</f>
        <v>64</v>
      </c>
      <c r="H20" s="5">
        <v>8</v>
      </c>
      <c r="I20" s="5">
        <v>4</v>
      </c>
      <c r="J20" s="8" t="s">
        <v>34</v>
      </c>
      <c r="K20" s="5">
        <v>3</v>
      </c>
      <c r="L20" s="9" t="s">
        <v>35</v>
      </c>
      <c r="M20" s="1">
        <v>629.4</v>
      </c>
      <c r="N20" s="1">
        <v>679.1</v>
      </c>
      <c r="Q20" s="1">
        <v>98.32</v>
      </c>
      <c r="R20" s="27" t="s">
        <v>36</v>
      </c>
    </row>
    <row r="21" spans="1:18" s="1" customFormat="1">
      <c r="A21" s="31"/>
      <c r="B21" s="32"/>
      <c r="C21" s="1">
        <v>4</v>
      </c>
      <c r="D21" s="5" t="s">
        <v>19</v>
      </c>
      <c r="E21" s="5">
        <v>43</v>
      </c>
      <c r="F21" s="5">
        <v>1</v>
      </c>
      <c r="G21" s="5">
        <f>C21*16</f>
        <v>64</v>
      </c>
      <c r="H21" s="5">
        <v>8</v>
      </c>
      <c r="I21" s="5">
        <v>4</v>
      </c>
      <c r="J21" s="8" t="s">
        <v>34</v>
      </c>
      <c r="K21" s="5">
        <v>3</v>
      </c>
      <c r="L21" s="9" t="s">
        <v>37</v>
      </c>
      <c r="M21" s="1">
        <v>635.5</v>
      </c>
      <c r="N21" s="1">
        <v>679.9</v>
      </c>
      <c r="Q21" s="1">
        <v>98.34</v>
      </c>
      <c r="R21" s="27"/>
    </row>
    <row r="22" spans="1:18" s="1" customFormat="1">
      <c r="A22" s="31"/>
      <c r="B22" s="32"/>
      <c r="C22" s="1">
        <v>4</v>
      </c>
      <c r="D22" s="5" t="s">
        <v>19</v>
      </c>
      <c r="E22" s="5">
        <v>43</v>
      </c>
      <c r="F22" s="5">
        <v>1</v>
      </c>
      <c r="G22" s="5">
        <f>C22*16</f>
        <v>64</v>
      </c>
      <c r="H22" s="5">
        <v>8</v>
      </c>
      <c r="I22" s="5">
        <v>4</v>
      </c>
      <c r="J22" s="8" t="s">
        <v>34</v>
      </c>
      <c r="K22" s="5">
        <v>3</v>
      </c>
      <c r="L22" s="9" t="s">
        <v>28</v>
      </c>
      <c r="M22" s="1">
        <v>643.1</v>
      </c>
      <c r="N22" s="1">
        <v>670.1</v>
      </c>
      <c r="Q22" s="1">
        <v>98.51</v>
      </c>
      <c r="R22" s="27"/>
    </row>
    <row r="23" spans="1:18" s="1" customFormat="1">
      <c r="A23" s="31"/>
      <c r="B23" s="32"/>
      <c r="C23" s="1">
        <v>4</v>
      </c>
      <c r="D23" s="5" t="s">
        <v>19</v>
      </c>
      <c r="E23" s="5">
        <v>43</v>
      </c>
      <c r="F23" s="5">
        <v>1</v>
      </c>
      <c r="G23" s="5">
        <f>C23*16</f>
        <v>64</v>
      </c>
      <c r="H23" s="5">
        <v>8</v>
      </c>
      <c r="I23" s="5">
        <v>4</v>
      </c>
      <c r="J23" s="8" t="s">
        <v>34</v>
      </c>
      <c r="K23" s="5">
        <v>3</v>
      </c>
      <c r="L23" s="9" t="s">
        <v>32</v>
      </c>
      <c r="M23" s="18">
        <v>668</v>
      </c>
      <c r="N23" s="1">
        <v>673</v>
      </c>
      <c r="Q23" s="1">
        <v>98.51</v>
      </c>
      <c r="R23" s="17" t="s">
        <v>38</v>
      </c>
    </row>
    <row r="24" spans="1:18" s="1" customFormat="1">
      <c r="A24" s="31"/>
      <c r="B24" s="32"/>
      <c r="L24" s="9"/>
      <c r="R24" s="9"/>
    </row>
    <row r="25" spans="1:18" s="1" customFormat="1">
      <c r="A25" s="31"/>
      <c r="B25" s="32"/>
      <c r="L25" s="9"/>
      <c r="R25" s="9"/>
    </row>
    <row r="26" spans="1:18" s="1" customFormat="1">
      <c r="A26" s="31"/>
      <c r="B26" s="32"/>
      <c r="C26" s="1">
        <v>8</v>
      </c>
      <c r="D26" s="5" t="s">
        <v>19</v>
      </c>
      <c r="E26" s="5">
        <v>43</v>
      </c>
      <c r="F26" s="5">
        <v>1</v>
      </c>
      <c r="G26" s="5">
        <f>C26*16</f>
        <v>128</v>
      </c>
      <c r="H26" s="5">
        <v>8</v>
      </c>
      <c r="I26" s="5">
        <v>4</v>
      </c>
      <c r="J26" s="8" t="s">
        <v>34</v>
      </c>
      <c r="K26" s="5">
        <v>3</v>
      </c>
      <c r="L26" s="9" t="s">
        <v>39</v>
      </c>
      <c r="M26" s="19">
        <v>595</v>
      </c>
      <c r="Q26" s="1">
        <v>84.56</v>
      </c>
      <c r="R26" s="31" t="s">
        <v>40</v>
      </c>
    </row>
    <row r="27" spans="1:18" s="1" customFormat="1">
      <c r="A27" s="31"/>
      <c r="B27" s="32"/>
      <c r="C27" s="1">
        <v>8</v>
      </c>
      <c r="D27" s="5" t="s">
        <v>19</v>
      </c>
      <c r="E27" s="5">
        <v>43</v>
      </c>
      <c r="F27" s="5">
        <v>1</v>
      </c>
      <c r="G27" s="5">
        <f>C27*16</f>
        <v>128</v>
      </c>
      <c r="H27" s="5">
        <v>8</v>
      </c>
      <c r="I27" s="5">
        <v>4</v>
      </c>
      <c r="J27" s="8" t="s">
        <v>34</v>
      </c>
      <c r="K27" s="5">
        <v>3</v>
      </c>
      <c r="L27" s="9" t="s">
        <v>32</v>
      </c>
      <c r="M27" s="1">
        <v>671.8</v>
      </c>
      <c r="O27" s="1">
        <v>1923.7</v>
      </c>
      <c r="Q27" s="1">
        <v>84.49</v>
      </c>
      <c r="R27" s="31"/>
    </row>
    <row r="28" spans="1:18" s="1" customFormat="1">
      <c r="A28" s="31"/>
      <c r="B28" s="32"/>
      <c r="L28" s="9"/>
      <c r="R28" s="20"/>
    </row>
    <row r="29" spans="1:18" s="1" customFormat="1">
      <c r="A29" s="31"/>
      <c r="B29" s="32"/>
      <c r="L29" s="9"/>
      <c r="R29" s="9"/>
    </row>
    <row r="30" spans="1:18" s="1" customFormat="1">
      <c r="A30" s="31"/>
      <c r="B30" s="32"/>
      <c r="C30" s="1">
        <v>4</v>
      </c>
      <c r="D30" s="5" t="s">
        <v>19</v>
      </c>
      <c r="E30" s="5">
        <v>43</v>
      </c>
      <c r="F30" s="5">
        <v>1</v>
      </c>
      <c r="G30" s="5">
        <f>C30*16</f>
        <v>64</v>
      </c>
      <c r="H30" s="5">
        <v>8</v>
      </c>
      <c r="I30" s="5">
        <v>4</v>
      </c>
      <c r="J30" s="8" t="s">
        <v>34</v>
      </c>
      <c r="K30" s="5">
        <v>3</v>
      </c>
      <c r="L30" s="9" t="s">
        <v>41</v>
      </c>
      <c r="M30" s="1">
        <v>664.7</v>
      </c>
      <c r="O30" s="1">
        <v>1903.3</v>
      </c>
      <c r="Q30" s="1">
        <v>98.51</v>
      </c>
      <c r="R30" s="27" t="s">
        <v>42</v>
      </c>
    </row>
    <row r="31" spans="1:18" s="1" customFormat="1">
      <c r="A31" s="31"/>
      <c r="B31" s="4"/>
      <c r="C31" s="1">
        <v>8</v>
      </c>
      <c r="D31" s="5" t="s">
        <v>19</v>
      </c>
      <c r="E31" s="5">
        <v>43</v>
      </c>
      <c r="F31" s="5">
        <v>1</v>
      </c>
      <c r="G31" s="5">
        <f>C31*16</f>
        <v>128</v>
      </c>
      <c r="H31" s="5">
        <v>8</v>
      </c>
      <c r="I31" s="5">
        <v>8</v>
      </c>
      <c r="J31" s="8" t="s">
        <v>30</v>
      </c>
      <c r="K31" s="5">
        <v>0</v>
      </c>
      <c r="L31" s="9" t="s">
        <v>41</v>
      </c>
      <c r="M31" s="1">
        <v>661.8</v>
      </c>
      <c r="O31" s="1">
        <v>1895</v>
      </c>
      <c r="Q31" s="1">
        <v>95.39</v>
      </c>
      <c r="R31" s="27"/>
    </row>
    <row r="32" spans="1:18" s="1" customFormat="1">
      <c r="A32" s="31"/>
      <c r="B32" s="4"/>
      <c r="L32" s="9"/>
      <c r="R32" s="9"/>
    </row>
    <row r="33" spans="1:19" s="1" customFormat="1">
      <c r="A33" s="31"/>
      <c r="B33" s="4"/>
      <c r="C33" s="1">
        <v>4</v>
      </c>
      <c r="D33" s="5" t="s">
        <v>19</v>
      </c>
      <c r="E33" s="5">
        <v>43</v>
      </c>
      <c r="F33" s="5">
        <v>1</v>
      </c>
      <c r="G33" s="5">
        <f>C33*16</f>
        <v>64</v>
      </c>
      <c r="H33" s="5">
        <v>8</v>
      </c>
      <c r="I33" s="5">
        <v>4</v>
      </c>
      <c r="J33" s="8" t="s">
        <v>34</v>
      </c>
      <c r="K33" s="5">
        <v>3</v>
      </c>
      <c r="L33" s="9" t="s">
        <v>43</v>
      </c>
      <c r="M33" s="1">
        <v>664.9</v>
      </c>
      <c r="O33" s="1">
        <v>1903.8</v>
      </c>
      <c r="Q33" s="1">
        <v>98.68</v>
      </c>
      <c r="R33" s="17" t="s">
        <v>44</v>
      </c>
    </row>
    <row r="34" spans="1:19" s="1" customFormat="1">
      <c r="A34" s="31"/>
      <c r="B34" s="4"/>
      <c r="C34" s="1">
        <v>8</v>
      </c>
      <c r="D34" s="5" t="s">
        <v>19</v>
      </c>
      <c r="E34" s="5">
        <v>43</v>
      </c>
      <c r="F34" s="5">
        <v>1</v>
      </c>
      <c r="G34" s="5">
        <f>C34*16</f>
        <v>128</v>
      </c>
      <c r="H34" s="5">
        <v>8</v>
      </c>
      <c r="I34" s="5">
        <v>8</v>
      </c>
      <c r="J34" s="8" t="s">
        <v>30</v>
      </c>
      <c r="K34" s="5">
        <v>0</v>
      </c>
      <c r="L34" s="9" t="s">
        <v>43</v>
      </c>
      <c r="M34" s="1">
        <v>669.6</v>
      </c>
      <c r="O34" s="1">
        <v>1917.4</v>
      </c>
      <c r="Q34" s="1">
        <v>95.49</v>
      </c>
      <c r="R34" s="17" t="s">
        <v>45</v>
      </c>
    </row>
    <row r="35" spans="1:19" ht="15" customHeight="1">
      <c r="R35" s="9" t="s">
        <v>46</v>
      </c>
    </row>
    <row r="37" spans="1:19" ht="15" customHeight="1">
      <c r="C37" s="1">
        <v>4</v>
      </c>
      <c r="D37" s="5" t="s">
        <v>19</v>
      </c>
      <c r="E37" s="5">
        <v>43</v>
      </c>
      <c r="F37" s="5">
        <v>1</v>
      </c>
      <c r="G37" s="5">
        <f>C37*16</f>
        <v>64</v>
      </c>
      <c r="H37" s="5">
        <v>8</v>
      </c>
      <c r="I37" s="5">
        <v>4</v>
      </c>
      <c r="J37" s="8" t="s">
        <v>34</v>
      </c>
      <c r="K37" s="5">
        <v>3</v>
      </c>
      <c r="L37" s="9" t="s">
        <v>43</v>
      </c>
      <c r="M37" s="1">
        <v>666</v>
      </c>
      <c r="N37" s="1"/>
      <c r="O37" s="1"/>
      <c r="P37" s="1"/>
      <c r="Q37" s="1">
        <v>98.68</v>
      </c>
      <c r="R37" s="28" t="s">
        <v>47</v>
      </c>
    </row>
    <row r="38" spans="1:19" ht="15" customHeight="1">
      <c r="C38" s="1">
        <v>8</v>
      </c>
      <c r="D38" s="5" t="s">
        <v>19</v>
      </c>
      <c r="E38" s="5">
        <v>43</v>
      </c>
      <c r="F38" s="5">
        <v>1</v>
      </c>
      <c r="G38" s="5">
        <f>C38*16</f>
        <v>128</v>
      </c>
      <c r="H38" s="5">
        <v>8</v>
      </c>
      <c r="I38" s="5">
        <v>8</v>
      </c>
      <c r="J38" s="8" t="s">
        <v>30</v>
      </c>
      <c r="K38" s="5">
        <v>0</v>
      </c>
      <c r="L38" s="9" t="s">
        <v>43</v>
      </c>
      <c r="M38" s="1">
        <v>670.3</v>
      </c>
      <c r="N38" s="1"/>
      <c r="O38" s="1"/>
      <c r="P38" s="1"/>
      <c r="Q38" s="1">
        <v>95.49</v>
      </c>
      <c r="R38" s="29"/>
    </row>
    <row r="39" spans="1:19" ht="15" customHeight="1">
      <c r="R39" s="29"/>
    </row>
    <row r="40" spans="1:19" ht="15" customHeight="1">
      <c r="C40" s="1">
        <v>4</v>
      </c>
      <c r="D40" s="5" t="s">
        <v>19</v>
      </c>
      <c r="E40" s="5">
        <v>43</v>
      </c>
      <c r="F40" s="5">
        <v>1</v>
      </c>
      <c r="G40" s="5">
        <v>256</v>
      </c>
      <c r="H40" s="5">
        <v>8</v>
      </c>
      <c r="I40" s="5">
        <v>4</v>
      </c>
      <c r="J40" s="8" t="s">
        <v>34</v>
      </c>
      <c r="K40" s="5">
        <v>3</v>
      </c>
      <c r="L40" s="9" t="s">
        <v>48</v>
      </c>
      <c r="M40" s="1">
        <v>835.4</v>
      </c>
      <c r="Q40" s="1">
        <v>98.65</v>
      </c>
      <c r="R40" s="29"/>
      <c r="S40" t="s">
        <v>49</v>
      </c>
    </row>
    <row r="41" spans="1:19" ht="15" customHeight="1">
      <c r="C41" s="1">
        <v>8</v>
      </c>
      <c r="D41" s="5" t="s">
        <v>19</v>
      </c>
      <c r="E41" s="5">
        <v>43</v>
      </c>
      <c r="F41" s="5">
        <v>1</v>
      </c>
      <c r="G41" s="5">
        <v>512</v>
      </c>
      <c r="H41" s="5">
        <v>8</v>
      </c>
      <c r="I41" s="5">
        <v>8</v>
      </c>
      <c r="J41" s="8" t="s">
        <v>30</v>
      </c>
      <c r="K41" s="5">
        <v>0</v>
      </c>
      <c r="L41" s="9" t="s">
        <v>48</v>
      </c>
      <c r="M41" s="1">
        <v>801.3</v>
      </c>
      <c r="Q41" s="1">
        <v>96.11</v>
      </c>
      <c r="R41" s="29"/>
    </row>
    <row r="42" spans="1:19" ht="15" customHeight="1">
      <c r="C42" s="1"/>
      <c r="D42" s="5"/>
      <c r="E42" s="5"/>
      <c r="F42" s="5"/>
      <c r="G42" s="5"/>
      <c r="H42" s="5"/>
      <c r="I42" s="5"/>
      <c r="J42" s="8"/>
      <c r="K42" s="5"/>
      <c r="R42" s="21"/>
    </row>
    <row r="43" spans="1:19" ht="15" customHeight="1">
      <c r="L43" s="26" t="s">
        <v>50</v>
      </c>
    </row>
    <row r="44" spans="1:19" ht="15" customHeight="1">
      <c r="C44" s="1">
        <v>4</v>
      </c>
      <c r="D44" s="5" t="s">
        <v>19</v>
      </c>
      <c r="E44" s="5">
        <v>43</v>
      </c>
      <c r="F44" s="5">
        <v>1</v>
      </c>
      <c r="G44" s="5">
        <v>256</v>
      </c>
      <c r="H44" s="5">
        <v>8</v>
      </c>
      <c r="I44" s="5">
        <v>4</v>
      </c>
      <c r="J44" s="8" t="s">
        <v>51</v>
      </c>
      <c r="K44" s="5">
        <v>3</v>
      </c>
      <c r="L44" s="9" t="s">
        <v>52</v>
      </c>
      <c r="M44" s="1">
        <v>758.1</v>
      </c>
      <c r="Q44" s="1">
        <v>98.72</v>
      </c>
      <c r="R44" s="27" t="s">
        <v>53</v>
      </c>
      <c r="S44" t="s">
        <v>54</v>
      </c>
    </row>
    <row r="45" spans="1:19" ht="15" customHeight="1">
      <c r="C45" s="22">
        <v>4</v>
      </c>
      <c r="D45" s="23" t="s">
        <v>19</v>
      </c>
      <c r="E45" s="23">
        <v>43</v>
      </c>
      <c r="F45" s="23">
        <v>1</v>
      </c>
      <c r="G45" s="23">
        <v>256</v>
      </c>
      <c r="H45" s="23">
        <v>8</v>
      </c>
      <c r="I45" s="23">
        <v>4</v>
      </c>
      <c r="J45" s="24" t="s">
        <v>55</v>
      </c>
      <c r="K45" s="23">
        <v>3</v>
      </c>
      <c r="L45" s="25" t="s">
        <v>56</v>
      </c>
      <c r="M45" s="22" t="s">
        <v>57</v>
      </c>
      <c r="R45" s="27"/>
    </row>
    <row r="46" spans="1:19" ht="15" customHeight="1">
      <c r="C46" s="1"/>
      <c r="D46" s="5"/>
      <c r="E46" s="5"/>
      <c r="F46" s="5"/>
      <c r="G46" s="5"/>
      <c r="H46" s="5"/>
      <c r="I46" s="5"/>
      <c r="J46" s="8"/>
      <c r="K46" s="5"/>
      <c r="R46" s="27"/>
    </row>
    <row r="47" spans="1:19" ht="15" customHeight="1">
      <c r="C47" s="1">
        <v>8</v>
      </c>
      <c r="D47" s="5" t="s">
        <v>19</v>
      </c>
      <c r="E47" s="5">
        <v>43</v>
      </c>
      <c r="F47" s="5">
        <v>1</v>
      </c>
      <c r="G47" s="5">
        <v>512</v>
      </c>
      <c r="H47" s="5">
        <v>8</v>
      </c>
      <c r="I47" s="5">
        <v>8</v>
      </c>
      <c r="J47" s="8" t="s">
        <v>58</v>
      </c>
      <c r="K47" s="5">
        <v>0</v>
      </c>
      <c r="L47" s="9" t="s">
        <v>52</v>
      </c>
      <c r="M47" s="1">
        <v>814.3</v>
      </c>
      <c r="Q47" s="1">
        <v>96.1</v>
      </c>
      <c r="R47" s="27"/>
      <c r="S47" t="s">
        <v>59</v>
      </c>
    </row>
    <row r="48" spans="1:19" ht="15" customHeight="1">
      <c r="C48" s="22">
        <v>8</v>
      </c>
      <c r="D48" s="23" t="s">
        <v>19</v>
      </c>
      <c r="E48" s="23">
        <v>43</v>
      </c>
      <c r="F48" s="23">
        <v>1</v>
      </c>
      <c r="G48" s="23">
        <v>512</v>
      </c>
      <c r="H48" s="23">
        <v>8</v>
      </c>
      <c r="I48" s="23">
        <v>8</v>
      </c>
      <c r="J48" s="24" t="s">
        <v>60</v>
      </c>
      <c r="K48" s="23">
        <v>0</v>
      </c>
      <c r="L48" s="25" t="s">
        <v>56</v>
      </c>
      <c r="M48" s="22" t="s">
        <v>57</v>
      </c>
      <c r="R48" s="27"/>
    </row>
    <row r="49" spans="3:19" ht="15" customHeight="1">
      <c r="C49" s="1">
        <v>8</v>
      </c>
      <c r="D49" s="5" t="s">
        <v>19</v>
      </c>
      <c r="E49" s="5">
        <v>43</v>
      </c>
      <c r="F49" s="5">
        <v>1</v>
      </c>
      <c r="G49" s="5">
        <v>512</v>
      </c>
      <c r="H49" s="5">
        <v>8</v>
      </c>
      <c r="I49" s="5">
        <v>8</v>
      </c>
      <c r="J49" s="8" t="s">
        <v>61</v>
      </c>
      <c r="K49" s="5">
        <v>0</v>
      </c>
      <c r="L49" s="9" t="s">
        <v>62</v>
      </c>
      <c r="M49" s="1">
        <v>814.2</v>
      </c>
      <c r="Q49" s="1">
        <v>98.48</v>
      </c>
      <c r="R49" s="27"/>
      <c r="S49" t="s">
        <v>63</v>
      </c>
    </row>
    <row r="50" spans="3:19" ht="15" customHeight="1">
      <c r="R50" s="27"/>
    </row>
    <row r="51" spans="3:19" ht="15" customHeight="1">
      <c r="C51" s="1">
        <v>4</v>
      </c>
      <c r="D51" s="5" t="s">
        <v>19</v>
      </c>
      <c r="E51" s="5">
        <v>43</v>
      </c>
      <c r="F51" s="5">
        <v>1</v>
      </c>
      <c r="G51" s="5">
        <v>256</v>
      </c>
      <c r="H51" s="5">
        <v>8</v>
      </c>
      <c r="I51" s="5">
        <v>4</v>
      </c>
      <c r="J51" s="8" t="s">
        <v>34</v>
      </c>
      <c r="K51" s="5">
        <v>3</v>
      </c>
      <c r="L51" s="9" t="s">
        <v>64</v>
      </c>
      <c r="M51" s="1">
        <v>840.6</v>
      </c>
      <c r="Q51" s="1">
        <v>98.65</v>
      </c>
      <c r="R51" s="27"/>
    </row>
    <row r="52" spans="3:19" ht="15" customHeight="1">
      <c r="C52" s="1">
        <v>8</v>
      </c>
      <c r="D52" s="5" t="s">
        <v>19</v>
      </c>
      <c r="E52" s="5">
        <v>43</v>
      </c>
      <c r="F52" s="5">
        <v>1</v>
      </c>
      <c r="G52" s="5">
        <v>512</v>
      </c>
      <c r="H52" s="5">
        <v>8</v>
      </c>
      <c r="I52" s="5">
        <v>8</v>
      </c>
      <c r="J52" s="8" t="s">
        <v>30</v>
      </c>
      <c r="K52" s="5">
        <v>0</v>
      </c>
      <c r="L52" s="9" t="s">
        <v>64</v>
      </c>
      <c r="M52" s="1">
        <v>803.2</v>
      </c>
      <c r="Q52" s="1">
        <v>96.11</v>
      </c>
      <c r="R52" s="27"/>
    </row>
    <row r="53" spans="3:19" ht="15" customHeight="1">
      <c r="R53" s="27"/>
    </row>
    <row r="54" spans="3:19" ht="15" customHeight="1">
      <c r="C54" s="1">
        <v>4</v>
      </c>
      <c r="D54" s="5" t="s">
        <v>19</v>
      </c>
      <c r="E54" s="5">
        <v>43</v>
      </c>
      <c r="F54" s="5">
        <v>1</v>
      </c>
      <c r="G54" s="5">
        <v>256</v>
      </c>
      <c r="H54" s="5">
        <v>8</v>
      </c>
      <c r="I54" s="5">
        <v>4</v>
      </c>
      <c r="J54" s="8" t="s">
        <v>51</v>
      </c>
      <c r="K54" s="5">
        <v>3</v>
      </c>
      <c r="L54" s="9" t="s">
        <v>52</v>
      </c>
      <c r="M54" s="18">
        <v>758.1</v>
      </c>
      <c r="Q54" s="1">
        <v>98.72</v>
      </c>
      <c r="R54" s="27"/>
    </row>
    <row r="55" spans="3:19" ht="15" customHeight="1">
      <c r="C55" s="1">
        <v>8</v>
      </c>
      <c r="D55" s="5" t="s">
        <v>19</v>
      </c>
      <c r="E55" s="5">
        <v>43</v>
      </c>
      <c r="F55" s="5">
        <v>1</v>
      </c>
      <c r="G55" s="5">
        <v>512</v>
      </c>
      <c r="H55" s="5">
        <v>8</v>
      </c>
      <c r="I55" s="5">
        <v>8</v>
      </c>
      <c r="J55" s="8" t="s">
        <v>58</v>
      </c>
      <c r="K55" s="5">
        <v>0</v>
      </c>
      <c r="L55" s="9" t="s">
        <v>52</v>
      </c>
      <c r="M55" s="18">
        <v>814.3</v>
      </c>
      <c r="Q55" s="1">
        <v>96.1</v>
      </c>
      <c r="R55" s="27"/>
      <c r="S55" t="s">
        <v>65</v>
      </c>
    </row>
    <row r="56" spans="3:19" ht="15" customHeight="1">
      <c r="L56" s="9" t="s">
        <v>66</v>
      </c>
    </row>
    <row r="59" spans="3:19" ht="15" customHeight="1">
      <c r="C59" s="1">
        <v>4</v>
      </c>
      <c r="D59" s="5" t="s">
        <v>19</v>
      </c>
      <c r="E59" s="5">
        <v>43</v>
      </c>
      <c r="F59" s="5">
        <v>1</v>
      </c>
      <c r="G59" s="5">
        <v>256</v>
      </c>
      <c r="H59" s="5">
        <v>8</v>
      </c>
      <c r="I59" s="5">
        <v>4</v>
      </c>
      <c r="J59" s="8" t="s">
        <v>51</v>
      </c>
      <c r="K59" s="5">
        <v>3</v>
      </c>
      <c r="M59" s="1">
        <v>758.9</v>
      </c>
      <c r="Q59" s="1">
        <v>98.72</v>
      </c>
      <c r="R59" t="s">
        <v>67</v>
      </c>
    </row>
    <row r="60" spans="3:19" ht="15" customHeight="1">
      <c r="C60" s="1">
        <v>8</v>
      </c>
      <c r="D60" s="5" t="s">
        <v>19</v>
      </c>
      <c r="E60" s="5">
        <v>43</v>
      </c>
      <c r="F60" s="5">
        <v>1</v>
      </c>
      <c r="G60" s="5">
        <v>512</v>
      </c>
      <c r="H60" s="5">
        <v>8</v>
      </c>
      <c r="I60" s="5">
        <v>8</v>
      </c>
      <c r="J60" s="8" t="s">
        <v>58</v>
      </c>
      <c r="K60" s="5">
        <v>0</v>
      </c>
      <c r="M60" s="1">
        <v>813.1</v>
      </c>
      <c r="Q60" s="1">
        <v>96.1</v>
      </c>
    </row>
  </sheetData>
  <mergeCells count="9">
    <mergeCell ref="R44:R55"/>
    <mergeCell ref="R37:R41"/>
    <mergeCell ref="L7:L9"/>
    <mergeCell ref="A7:A34"/>
    <mergeCell ref="R20:R22"/>
    <mergeCell ref="B2:B12"/>
    <mergeCell ref="B16:B30"/>
    <mergeCell ref="R26:R27"/>
    <mergeCell ref="R30:R31"/>
  </mergeCells>
  <pageMargins left="0.7" right="0.7" top="0.75" bottom="0.75" header="0.3" footer="0.3"/>
  <headerFooter>
    <oddHeader>&amp;L&amp;"Aptos"&amp;10&amp;K0000FF AMD General&amp;1#_x000D_</oddHeader>
  </headerFooter>
</worksheet>
</file>

<file path=docMetadata/LabelInfo.xml><?xml version="1.0" encoding="utf-8"?>
<clbl:labelList xmlns:clbl="http://schemas.microsoft.com/office/2020/mipLabelMetadata">
  <clbl:label id="{198e8dea-a4f3-4850-b16a-fd6d2b1302b4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Lihuan</dc:creator>
  <cp:keywords/>
  <dc:description/>
  <cp:lastModifiedBy/>
  <cp:revision/>
  <dcterms:created xsi:type="dcterms:W3CDTF">2015-06-05T18:17:20Z</dcterms:created>
  <dcterms:modified xsi:type="dcterms:W3CDTF">2026-06-26T21:35:50Z</dcterms:modified>
  <cp:category/>
  <cp:contentStatus/>
</cp:coreProperties>
</file>